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938F08-82F5-4AAD-9623-25E8931FC4EE}" xr6:coauthVersionLast="47" xr6:coauthVersionMax="47" xr10:uidLastSave="{00000000-0000-0000-0000-000000000000}"/>
  <bookViews>
    <workbookView xWindow="-120" yWindow="-120" windowWidth="29040" windowHeight="15840" activeTab="1" xr2:uid="{9D004C74-C250-44D1-9D35-F60C5B8033B9}"/>
  </bookViews>
  <sheets>
    <sheet name="Center of Boyancy" sheetId="1" r:id="rId1"/>
    <sheet name="GZ Cur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" i="2" l="1"/>
  <c r="E35" i="2"/>
  <c r="F35" i="2"/>
  <c r="D36" i="2"/>
  <c r="E36" i="2"/>
  <c r="F36" i="2"/>
  <c r="D37" i="2"/>
  <c r="E37" i="2"/>
  <c r="F37" i="2"/>
  <c r="D38" i="2"/>
  <c r="E38" i="2"/>
  <c r="F38" i="2"/>
  <c r="D39" i="2"/>
  <c r="E39" i="2"/>
  <c r="F39" i="2"/>
  <c r="D40" i="2"/>
  <c r="E40" i="2"/>
  <c r="F40" i="2"/>
  <c r="D41" i="2"/>
  <c r="E41" i="2"/>
  <c r="F41" i="2"/>
  <c r="D42" i="2"/>
  <c r="E42" i="2"/>
  <c r="F42" i="2"/>
  <c r="F34" i="2"/>
  <c r="E34" i="2"/>
  <c r="D34" i="2"/>
  <c r="C34" i="2"/>
  <c r="C35" i="2"/>
  <c r="C36" i="2"/>
  <c r="C37" i="2"/>
  <c r="C38" i="2"/>
  <c r="C39" i="2"/>
  <c r="C40" i="2"/>
  <c r="C41" i="2"/>
  <c r="C42" i="2"/>
  <c r="K13" i="2"/>
  <c r="K14" i="2"/>
  <c r="K15" i="2"/>
  <c r="K16" i="2"/>
  <c r="K17" i="2"/>
  <c r="K18" i="2"/>
  <c r="K19" i="2"/>
  <c r="K20" i="2"/>
  <c r="K12" i="2"/>
  <c r="E5" i="2"/>
  <c r="F24" i="2"/>
  <c r="G24" i="2"/>
  <c r="H24" i="2" s="1"/>
  <c r="F25" i="2"/>
  <c r="G25" i="2"/>
  <c r="F26" i="2"/>
  <c r="G26" i="2"/>
  <c r="H26" i="2" s="1"/>
  <c r="F27" i="2"/>
  <c r="G27" i="2"/>
  <c r="F28" i="2"/>
  <c r="G28" i="2"/>
  <c r="H28" i="2" s="1"/>
  <c r="F29" i="2"/>
  <c r="G29" i="2"/>
  <c r="G23" i="2"/>
  <c r="F23" i="2"/>
  <c r="B24" i="2"/>
  <c r="C24" i="2"/>
  <c r="B25" i="2"/>
  <c r="C25" i="2"/>
  <c r="B26" i="2"/>
  <c r="C26" i="2"/>
  <c r="B27" i="2"/>
  <c r="C27" i="2"/>
  <c r="B28" i="2"/>
  <c r="C28" i="2"/>
  <c r="B29" i="2"/>
  <c r="C29" i="2"/>
  <c r="C23" i="2"/>
  <c r="B23" i="2"/>
  <c r="F19" i="2"/>
  <c r="G19" i="2"/>
  <c r="F13" i="2"/>
  <c r="G13" i="2"/>
  <c r="F14" i="2"/>
  <c r="G14" i="2"/>
  <c r="F15" i="2"/>
  <c r="G15" i="2"/>
  <c r="F16" i="2"/>
  <c r="G16" i="2"/>
  <c r="F17" i="2"/>
  <c r="G17" i="2"/>
  <c r="F18" i="2"/>
  <c r="G18" i="2"/>
  <c r="G12" i="2"/>
  <c r="F12" i="2"/>
  <c r="B12" i="2"/>
  <c r="C12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13" i="2"/>
  <c r="E8" i="2"/>
  <c r="E7" i="2"/>
  <c r="E6" i="2"/>
  <c r="H18" i="2" l="1"/>
  <c r="H16" i="2"/>
  <c r="H14" i="2"/>
  <c r="D25" i="2"/>
  <c r="H23" i="2"/>
  <c r="D29" i="2"/>
  <c r="H12" i="2"/>
  <c r="D27" i="2"/>
  <c r="H17" i="2"/>
  <c r="H15" i="2"/>
  <c r="H13" i="2"/>
  <c r="D23" i="2"/>
  <c r="D28" i="2"/>
  <c r="D26" i="2"/>
  <c r="D24" i="2"/>
  <c r="H29" i="2"/>
  <c r="H27" i="2"/>
  <c r="H25" i="2"/>
  <c r="D12" i="2"/>
  <c r="H19" i="2"/>
  <c r="D19" i="2"/>
  <c r="D17" i="2"/>
  <c r="D15" i="2"/>
  <c r="D13" i="2"/>
  <c r="D16" i="2"/>
  <c r="D18" i="2"/>
  <c r="D14" i="2"/>
</calcChain>
</file>

<file path=xl/sharedStrings.xml><?xml version="1.0" encoding="utf-8"?>
<sst xmlns="http://schemas.openxmlformats.org/spreadsheetml/2006/main" count="53" uniqueCount="27">
  <si>
    <t>Center of Boyancy</t>
  </si>
  <si>
    <t>Draft (T=7.5 cm, Disp.=6.223 kg)</t>
  </si>
  <si>
    <t>Draft (T=7.0 cm, Disp.=5.667 kg)</t>
  </si>
  <si>
    <t>T [m]</t>
  </si>
  <si>
    <t>Disp. [kg]</t>
  </si>
  <si>
    <t>Ixx [cm^4]</t>
  </si>
  <si>
    <r>
      <t>BM</t>
    </r>
    <r>
      <rPr>
        <sz val="8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charset val="161"/>
        <scheme val="minor"/>
      </rPr>
      <t xml:space="preserve"> [cm]</t>
    </r>
  </si>
  <si>
    <t>GZ [cm]</t>
  </si>
  <si>
    <t>φ [deg]</t>
  </si>
  <si>
    <t>KB [cm]</t>
  </si>
  <si>
    <t>x [cm]</t>
  </si>
  <si>
    <t>y [cm]</t>
  </si>
  <si>
    <t>z [cm]</t>
  </si>
  <si>
    <t>Roll [deg]</t>
  </si>
  <si>
    <t>Draft (T=6.5 cm, Disp.=5.140 kg)</t>
  </si>
  <si>
    <t>Draft (T=6.0 cm, Disp.=4.619 kg)</t>
  </si>
  <si>
    <t>Draft (T=6.5 cm, Disp.=5.14 kg)</t>
  </si>
  <si>
    <t>CG (cm)</t>
  </si>
  <si>
    <t>Moment of CG</t>
  </si>
  <si>
    <t>M [kg*cm]</t>
  </si>
  <si>
    <t>X (Max=7.7 cm)</t>
  </si>
  <si>
    <t>Z (Max=10)</t>
  </si>
  <si>
    <t>Side Area [cm^2]</t>
  </si>
  <si>
    <t>Moment due to wind</t>
  </si>
  <si>
    <t>Vertical Center of side area [cm]</t>
  </si>
  <si>
    <t>T [cm]</t>
  </si>
  <si>
    <t>Wind Speed 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</si>
</sst>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charset val="161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8" fontId="0" fillId="0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GZ</a:t>
            </a:r>
            <a:r>
              <a:rPr lang="en-US" baseline="0"/>
              <a:t> Stability Curves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'GZ Curve'!$B$10</c:f>
              <c:strCache>
                <c:ptCount val="1"/>
                <c:pt idx="0">
                  <c:v>Draft (T=6.0 cm, Disp.=4.619 kg)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'GZ Curve'!$B$12:$B$19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'GZ Curve'!$D$12:$D$19</c:f>
              <c:numCache>
                <c:formatCode>0.000</c:formatCode>
                <c:ptCount val="8"/>
                <c:pt idx="0">
                  <c:v>0</c:v>
                </c:pt>
                <c:pt idx="1">
                  <c:v>0.19844557264578594</c:v>
                </c:pt>
                <c:pt idx="2">
                  <c:v>0.42128845011766919</c:v>
                </c:pt>
                <c:pt idx="3">
                  <c:v>0.69331328918849167</c:v>
                </c:pt>
                <c:pt idx="4">
                  <c:v>1.0422282151683269</c:v>
                </c:pt>
                <c:pt idx="5">
                  <c:v>1.5012535441037567</c:v>
                </c:pt>
                <c:pt idx="6">
                  <c:v>2.1126336869452262</c:v>
                </c:pt>
                <c:pt idx="7">
                  <c:v>2.9334474958887604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6B-460C-8828-56338F053ED0}"/>
            </c:ext>
          </c:extLst>
        </c:ser>
        <c:ser>
          <c:idx val="1"/>
          <c:order val="1"/>
          <c:tx>
            <c:strRef>
              <c:f>'GZ Curve'!$F$10</c:f>
              <c:strCache>
                <c:ptCount val="1"/>
                <c:pt idx="0">
                  <c:v>Draft (T=6.5 cm, Disp.=5.140 kg)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'GZ Curve'!$F$12:$F$19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33</c:v>
                </c:pt>
              </c:numCache>
            </c:numRef>
          </c:xVal>
          <c:yVal>
            <c:numRef>
              <c:f>'GZ Curve'!$H$12:$H$19</c:f>
              <c:numCache>
                <c:formatCode>0.000</c:formatCode>
                <c:ptCount val="8"/>
                <c:pt idx="0">
                  <c:v>0</c:v>
                </c:pt>
                <c:pt idx="1">
                  <c:v>0.20829751144907252</c:v>
                </c:pt>
                <c:pt idx="2">
                  <c:v>0.4393343829480536</c:v>
                </c:pt>
                <c:pt idx="3">
                  <c:v>0.71603081444772265</c:v>
                </c:pt>
                <c:pt idx="4">
                  <c:v>1.0644997933807776</c:v>
                </c:pt>
                <c:pt idx="5">
                  <c:v>1.5161279261791789</c:v>
                </c:pt>
                <c:pt idx="6">
                  <c:v>2.1125553826199739</c:v>
                </c:pt>
                <c:pt idx="7">
                  <c:v>2.5613163530481748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6B-460C-8828-56338F053ED0}"/>
            </c:ext>
          </c:extLst>
        </c:ser>
        <c:ser>
          <c:idx val="2"/>
          <c:order val="2"/>
          <c:tx>
            <c:strRef>
              <c:f>'GZ Curve'!$B$21</c:f>
              <c:strCache>
                <c:ptCount val="1"/>
                <c:pt idx="0">
                  <c:v>Draft (T=7.0 cm, Disp.=5.667 kg)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'GZ Curve'!$B$23:$B$29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'GZ Curve'!$D$23:$D$29</c:f>
              <c:numCache>
                <c:formatCode>0.000</c:formatCode>
                <c:ptCount val="7"/>
                <c:pt idx="0">
                  <c:v>0</c:v>
                </c:pt>
                <c:pt idx="1">
                  <c:v>0.22091513631673215</c:v>
                </c:pt>
                <c:pt idx="2">
                  <c:v>0.46267554598733446</c:v>
                </c:pt>
                <c:pt idx="3">
                  <c:v>0.74698300330122969</c:v>
                </c:pt>
                <c:pt idx="4">
                  <c:v>1.0990113660769927</c:v>
                </c:pt>
                <c:pt idx="5">
                  <c:v>1.5485610280260884</c:v>
                </c:pt>
                <c:pt idx="6">
                  <c:v>2.1351331098170694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6B-460C-8828-56338F053ED0}"/>
            </c:ext>
          </c:extLst>
        </c:ser>
        <c:ser>
          <c:idx val="3"/>
          <c:order val="3"/>
          <c:tx>
            <c:strRef>
              <c:f>'GZ Curve'!$F$21</c:f>
              <c:strCache>
                <c:ptCount val="1"/>
                <c:pt idx="0">
                  <c:v>Draft (T=7.5 cm, Disp.=6.223 kg)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'GZ Curve'!$F$23:$F$29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27</c:v>
                </c:pt>
              </c:numCache>
            </c:numRef>
          </c:xVal>
          <c:yVal>
            <c:numRef>
              <c:f>'GZ Curve'!$H$23:$H$29</c:f>
              <c:numCache>
                <c:formatCode>0.000</c:formatCode>
                <c:ptCount val="7"/>
                <c:pt idx="0">
                  <c:v>0</c:v>
                </c:pt>
                <c:pt idx="1">
                  <c:v>0.22003181089249332</c:v>
                </c:pt>
                <c:pt idx="2">
                  <c:v>0.45868171761232829</c:v>
                </c:pt>
                <c:pt idx="3">
                  <c:v>0.73613281150454213</c:v>
                </c:pt>
                <c:pt idx="4">
                  <c:v>1.0751746266865654</c:v>
                </c:pt>
                <c:pt idx="5">
                  <c:v>1.503940715343804</c:v>
                </c:pt>
                <c:pt idx="6">
                  <c:v>1.708427031363595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6B-460C-8828-56338F053ED0}"/>
            </c:ext>
          </c:extLst>
        </c:ser>
        <c:ser>
          <c:idx val="4"/>
          <c:order val="4"/>
          <c:tx>
            <c:strRef>
              <c:f>'GZ Curve'!$J$10:$K$10</c:f>
              <c:strCache>
                <c:ptCount val="1"/>
                <c:pt idx="0">
                  <c:v>Moment of CG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'GZ Curve'!$J$12:$J$20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'GZ Curve'!$K$12:$K$20</c:f>
              <c:numCache>
                <c:formatCode>0.000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06B-460C-8828-56338F05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808079"/>
        <c:axId val="830800879"/>
      </c:scatterChart>
      <c:valAx>
        <c:axId val="83080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30800879"/>
        <c:crosses val="autoZero"/>
        <c:crossBetween val="midCat"/>
      </c:valAx>
      <c:valAx>
        <c:axId val="83080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30808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3</xdr:row>
      <xdr:rowOff>471486</xdr:rowOff>
    </xdr:from>
    <xdr:to>
      <xdr:col>18</xdr:col>
      <xdr:colOff>295275</xdr:colOff>
      <xdr:row>29</xdr:row>
      <xdr:rowOff>76199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5B8D5041-0EB0-D7F0-9A89-147A9A39E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98B7-43E0-4550-A3BE-B01CED030C55}">
  <dimension ref="B2:J24"/>
  <sheetViews>
    <sheetView workbookViewId="0">
      <selection activeCell="C6" sqref="C6"/>
    </sheetView>
  </sheetViews>
  <sheetFormatPr defaultRowHeight="15" x14ac:dyDescent="0.25"/>
  <cols>
    <col min="1" max="1" width="3.140625" customWidth="1"/>
    <col min="6" max="6" width="1.7109375" customWidth="1"/>
    <col min="15" max="15" width="12" bestFit="1" customWidth="1"/>
    <col min="16" max="16" width="9.5703125" customWidth="1"/>
  </cols>
  <sheetData>
    <row r="2" spans="2:10" x14ac:dyDescent="0.25">
      <c r="B2" s="6" t="s">
        <v>0</v>
      </c>
      <c r="C2" s="6"/>
      <c r="D2" s="6"/>
      <c r="E2" s="6"/>
      <c r="F2" s="6"/>
      <c r="G2" s="6"/>
      <c r="H2" s="6"/>
      <c r="I2" s="6"/>
      <c r="J2" s="6"/>
    </row>
    <row r="3" spans="2:10" ht="9" customHeight="1" x14ac:dyDescent="0.25"/>
    <row r="4" spans="2:10" x14ac:dyDescent="0.25">
      <c r="B4" s="7" t="s">
        <v>15</v>
      </c>
      <c r="C4" s="7"/>
      <c r="D4" s="7"/>
      <c r="E4" s="7"/>
      <c r="G4" s="7" t="s">
        <v>16</v>
      </c>
      <c r="H4" s="7"/>
      <c r="I4" s="7"/>
      <c r="J4" s="7"/>
    </row>
    <row r="5" spans="2:10" x14ac:dyDescent="0.25">
      <c r="B5" s="3" t="s">
        <v>13</v>
      </c>
      <c r="C5" s="3" t="s">
        <v>10</v>
      </c>
      <c r="D5" s="3" t="s">
        <v>11</v>
      </c>
      <c r="E5" s="3" t="s">
        <v>12</v>
      </c>
      <c r="G5" s="3" t="s">
        <v>13</v>
      </c>
      <c r="H5" s="3" t="s">
        <v>10</v>
      </c>
      <c r="I5" s="3" t="s">
        <v>11</v>
      </c>
      <c r="J5" s="3" t="s">
        <v>12</v>
      </c>
    </row>
    <row r="6" spans="2:10" x14ac:dyDescent="0.25">
      <c r="B6" s="3">
        <v>0</v>
      </c>
      <c r="C6" s="9">
        <v>-3.3700000000000001E-4</v>
      </c>
      <c r="D6" s="3">
        <v>-41.192</v>
      </c>
      <c r="E6" s="3">
        <v>3.379</v>
      </c>
      <c r="G6" s="3">
        <v>0</v>
      </c>
      <c r="H6" s="9">
        <v>3.302E-4</v>
      </c>
      <c r="I6" s="3">
        <v>-40.738</v>
      </c>
      <c r="J6" s="3">
        <v>3.67</v>
      </c>
    </row>
    <row r="7" spans="2:10" x14ac:dyDescent="0.25">
      <c r="B7" s="3">
        <v>5</v>
      </c>
      <c r="C7" s="3">
        <v>0.33700000000000002</v>
      </c>
      <c r="D7" s="3">
        <v>-41.145000000000003</v>
      </c>
      <c r="E7" s="3">
        <v>3.399</v>
      </c>
      <c r="G7" s="3">
        <v>5</v>
      </c>
      <c r="H7" s="3">
        <v>0.32100000000000001</v>
      </c>
      <c r="I7" s="3">
        <v>-40.685000000000002</v>
      </c>
      <c r="J7" s="3">
        <v>3.6890000000000001</v>
      </c>
    </row>
    <row r="8" spans="2:10" x14ac:dyDescent="0.25">
      <c r="B8" s="3">
        <v>10</v>
      </c>
      <c r="C8" s="3">
        <v>0.67800000000000005</v>
      </c>
      <c r="D8" s="3">
        <v>-40.994999999999997</v>
      </c>
      <c r="E8" s="3">
        <v>3.4580000000000002</v>
      </c>
      <c r="G8" s="3">
        <v>10</v>
      </c>
      <c r="H8" s="3">
        <v>0.64100000000000001</v>
      </c>
      <c r="I8" s="3">
        <v>-40.573999999999998</v>
      </c>
      <c r="J8" s="3">
        <v>3.7429999999999999</v>
      </c>
    </row>
    <row r="9" spans="2:10" x14ac:dyDescent="0.25">
      <c r="B9" s="3">
        <v>15</v>
      </c>
      <c r="C9" s="3">
        <v>1.0189999999999999</v>
      </c>
      <c r="D9" s="3">
        <v>-40.798999999999999</v>
      </c>
      <c r="E9" s="3">
        <v>3.5539999999999998</v>
      </c>
      <c r="G9" s="3">
        <v>15</v>
      </c>
      <c r="H9" s="3">
        <v>0.95799999999999996</v>
      </c>
      <c r="I9" s="3">
        <v>-40.43</v>
      </c>
      <c r="J9" s="3">
        <v>3.83</v>
      </c>
    </row>
    <row r="10" spans="2:10" x14ac:dyDescent="0.25">
      <c r="B10" s="3">
        <v>20</v>
      </c>
      <c r="C10" s="3">
        <v>1.36</v>
      </c>
      <c r="D10" s="3">
        <v>-40.573999999999998</v>
      </c>
      <c r="E10" s="3">
        <v>3.6890000000000001</v>
      </c>
      <c r="G10" s="3">
        <v>20</v>
      </c>
      <c r="H10" s="3">
        <v>1.276</v>
      </c>
      <c r="I10" s="3">
        <v>-40.258000000000003</v>
      </c>
      <c r="J10" s="3">
        <v>3.9529999999999998</v>
      </c>
    </row>
    <row r="11" spans="2:10" x14ac:dyDescent="0.25">
      <c r="B11" s="3">
        <v>25</v>
      </c>
      <c r="C11" s="3">
        <v>1.7030000000000001</v>
      </c>
      <c r="D11" s="3">
        <v>-40.320999999999998</v>
      </c>
      <c r="E11" s="3">
        <v>3.867</v>
      </c>
      <c r="G11" s="3">
        <v>25</v>
      </c>
      <c r="H11" s="3">
        <v>1.5980000000000001</v>
      </c>
      <c r="I11" s="3">
        <v>-40.055</v>
      </c>
      <c r="J11" s="3">
        <v>4.1159999999999997</v>
      </c>
    </row>
    <row r="12" spans="2:10" x14ac:dyDescent="0.25">
      <c r="B12" s="3">
        <v>30</v>
      </c>
      <c r="C12" s="3">
        <v>2.0499999999999998</v>
      </c>
      <c r="D12" s="3">
        <v>-40.037999999999997</v>
      </c>
      <c r="E12" s="3">
        <v>4.0940000000000003</v>
      </c>
      <c r="G12" s="3">
        <v>30</v>
      </c>
      <c r="H12" s="3">
        <v>1.927</v>
      </c>
      <c r="I12" s="3">
        <v>-39.823</v>
      </c>
      <c r="J12" s="3">
        <v>4.3280000000000003</v>
      </c>
    </row>
    <row r="13" spans="2:10" x14ac:dyDescent="0.25">
      <c r="B13" s="3">
        <v>35</v>
      </c>
      <c r="C13" s="3">
        <v>2.3980000000000001</v>
      </c>
      <c r="D13" s="3">
        <v>-39.725999999999999</v>
      </c>
      <c r="E13" s="3">
        <v>4.3789999999999996</v>
      </c>
      <c r="G13" s="3">
        <v>33</v>
      </c>
      <c r="H13" s="3">
        <v>2.1280000000000001</v>
      </c>
      <c r="I13" s="3">
        <v>-39.667000000000002</v>
      </c>
      <c r="J13" s="3">
        <v>4.4809999999999999</v>
      </c>
    </row>
    <row r="14" spans="2:10" ht="9" customHeight="1" x14ac:dyDescent="0.25">
      <c r="B14" s="1"/>
      <c r="C14" s="1"/>
      <c r="D14" s="1"/>
      <c r="E14" s="1"/>
    </row>
    <row r="15" spans="2:10" x14ac:dyDescent="0.25">
      <c r="B15" s="7" t="s">
        <v>2</v>
      </c>
      <c r="C15" s="7"/>
      <c r="D15" s="7"/>
      <c r="E15" s="7"/>
      <c r="G15" s="7" t="s">
        <v>1</v>
      </c>
      <c r="H15" s="7"/>
      <c r="I15" s="7"/>
      <c r="J15" s="7"/>
    </row>
    <row r="16" spans="2:10" x14ac:dyDescent="0.25">
      <c r="B16" s="3" t="s">
        <v>13</v>
      </c>
      <c r="C16" s="3" t="s">
        <v>10</v>
      </c>
      <c r="D16" s="3" t="s">
        <v>11</v>
      </c>
      <c r="E16" s="3" t="s">
        <v>12</v>
      </c>
      <c r="G16" s="3" t="s">
        <v>13</v>
      </c>
      <c r="H16" s="3" t="s">
        <v>10</v>
      </c>
      <c r="I16" s="3" t="s">
        <v>11</v>
      </c>
      <c r="J16" s="3" t="s">
        <v>12</v>
      </c>
    </row>
    <row r="17" spans="2:10" x14ac:dyDescent="0.25">
      <c r="B17" s="3">
        <v>0</v>
      </c>
      <c r="C17" s="9">
        <v>-6.2160000000000001E-5</v>
      </c>
      <c r="D17" s="3">
        <v>-40.28</v>
      </c>
      <c r="E17" s="3">
        <v>3.9620000000000002</v>
      </c>
      <c r="G17" s="3">
        <v>0</v>
      </c>
      <c r="H17" s="9">
        <v>5.003E-5</v>
      </c>
      <c r="I17" s="3">
        <v>-39.869</v>
      </c>
      <c r="J17" s="3">
        <v>4.25</v>
      </c>
    </row>
    <row r="18" spans="2:10" x14ac:dyDescent="0.25">
      <c r="B18" s="3">
        <v>5</v>
      </c>
      <c r="C18" s="3">
        <v>0.30399999999999999</v>
      </c>
      <c r="D18" s="3">
        <v>-40.256999999999998</v>
      </c>
      <c r="E18" s="3">
        <v>3.9780000000000002</v>
      </c>
      <c r="G18" s="3">
        <v>5</v>
      </c>
      <c r="H18" s="3">
        <v>0.28299999999999997</v>
      </c>
      <c r="I18" s="3">
        <v>-39.869999999999997</v>
      </c>
      <c r="J18" s="3">
        <v>4.2629999999999999</v>
      </c>
    </row>
    <row r="19" spans="2:10" x14ac:dyDescent="0.25">
      <c r="B19" s="3">
        <v>10</v>
      </c>
      <c r="C19" s="3">
        <v>0.60199999999999998</v>
      </c>
      <c r="D19" s="3">
        <v>-40.194000000000003</v>
      </c>
      <c r="E19" s="3">
        <v>4.0250000000000004</v>
      </c>
      <c r="G19" s="3">
        <v>10</v>
      </c>
      <c r="H19" s="3">
        <v>0.56399999999999995</v>
      </c>
      <c r="I19" s="3">
        <v>-39.848999999999997</v>
      </c>
      <c r="J19" s="3">
        <v>4.3040000000000003</v>
      </c>
    </row>
    <row r="20" spans="2:10" x14ac:dyDescent="0.25">
      <c r="B20" s="3">
        <v>15</v>
      </c>
      <c r="C20" s="3">
        <v>0.9</v>
      </c>
      <c r="D20" s="3">
        <v>-40.097000000000001</v>
      </c>
      <c r="E20" s="3">
        <v>4.1029999999999998</v>
      </c>
      <c r="G20" s="3">
        <v>15</v>
      </c>
      <c r="H20" s="3">
        <v>0.84399999999999997</v>
      </c>
      <c r="I20" s="3">
        <v>-39.792999999999999</v>
      </c>
      <c r="J20" s="3">
        <v>4.375</v>
      </c>
    </row>
    <row r="21" spans="2:10" x14ac:dyDescent="0.25">
      <c r="B21" s="3">
        <v>20</v>
      </c>
      <c r="C21" s="3">
        <v>1.1990000000000001</v>
      </c>
      <c r="D21" s="3">
        <v>-39.97</v>
      </c>
      <c r="E21" s="3">
        <v>4.2160000000000002</v>
      </c>
      <c r="G21" s="3">
        <v>20</v>
      </c>
      <c r="H21" s="3">
        <v>1.127</v>
      </c>
      <c r="I21" s="3">
        <v>-39.704999999999998</v>
      </c>
      <c r="J21" s="3">
        <v>4.4779999999999998</v>
      </c>
    </row>
    <row r="22" spans="2:10" x14ac:dyDescent="0.25">
      <c r="B22" s="3">
        <v>25</v>
      </c>
      <c r="C22" s="3">
        <v>1.5029999999999999</v>
      </c>
      <c r="D22" s="3">
        <v>-39.811999999999998</v>
      </c>
      <c r="E22" s="3">
        <v>4.367</v>
      </c>
      <c r="G22" s="3">
        <v>25</v>
      </c>
      <c r="H22" s="3">
        <v>1.415</v>
      </c>
      <c r="I22" s="3">
        <v>-39.585999999999999</v>
      </c>
      <c r="J22" s="3">
        <v>4.6180000000000003</v>
      </c>
    </row>
    <row r="23" spans="2:10" x14ac:dyDescent="0.25">
      <c r="B23" s="4">
        <v>30</v>
      </c>
      <c r="C23" s="4">
        <v>1.8149999999999999</v>
      </c>
      <c r="D23" s="4">
        <v>-39.622999999999998</v>
      </c>
      <c r="E23" s="4">
        <v>4.5640000000000001</v>
      </c>
      <c r="G23" s="4">
        <v>27</v>
      </c>
      <c r="H23" s="4">
        <v>1.5329999999999999</v>
      </c>
      <c r="I23" s="4">
        <v>-39.530999999999999</v>
      </c>
      <c r="J23" s="4">
        <v>4.6859999999999999</v>
      </c>
    </row>
    <row r="24" spans="2:10" x14ac:dyDescent="0.25">
      <c r="B24" s="5"/>
      <c r="C24" s="5"/>
      <c r="D24" s="5"/>
      <c r="E24" s="5"/>
      <c r="F24" s="1"/>
      <c r="G24" s="5"/>
      <c r="H24" s="5"/>
      <c r="I24" s="5"/>
      <c r="J24" s="5"/>
    </row>
  </sheetData>
  <mergeCells count="5">
    <mergeCell ref="G4:J4"/>
    <mergeCell ref="B4:E4"/>
    <mergeCell ref="B2:J2"/>
    <mergeCell ref="B15:E15"/>
    <mergeCell ref="G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51F1-FA75-404B-8CFC-999EC8D65FC2}">
  <dimension ref="B2:K42"/>
  <sheetViews>
    <sheetView tabSelected="1" topLeftCell="A10" workbookViewId="0">
      <selection activeCell="C36" sqref="C36"/>
    </sheetView>
  </sheetViews>
  <sheetFormatPr defaultRowHeight="15" x14ac:dyDescent="0.25"/>
  <cols>
    <col min="2" max="2" width="15.140625" bestFit="1" customWidth="1"/>
    <col min="3" max="3" width="10.42578125" bestFit="1" customWidth="1"/>
    <col min="4" max="4" width="13.85546875" customWidth="1"/>
    <col min="5" max="5" width="9.5703125" bestFit="1" customWidth="1"/>
    <col min="7" max="7" width="16" customWidth="1"/>
    <col min="9" max="9" width="9.140625" customWidth="1"/>
    <col min="11" max="11" width="10" bestFit="1" customWidth="1"/>
    <col min="13" max="13" width="16.42578125" bestFit="1" customWidth="1"/>
    <col min="14" max="14" width="10.85546875" customWidth="1"/>
  </cols>
  <sheetData>
    <row r="2" spans="2:11" x14ac:dyDescent="0.25">
      <c r="B2" s="2"/>
      <c r="C2" s="3" t="s">
        <v>21</v>
      </c>
      <c r="D2" s="3" t="s">
        <v>20</v>
      </c>
      <c r="E2" s="2"/>
      <c r="F2" s="2"/>
      <c r="G2" s="2"/>
      <c r="H2" s="2"/>
      <c r="I2" s="2"/>
      <c r="J2" s="2"/>
      <c r="K2" s="2"/>
    </row>
    <row r="3" spans="2:11" x14ac:dyDescent="0.25">
      <c r="B3" s="14" t="s">
        <v>17</v>
      </c>
      <c r="C3" s="15">
        <v>5</v>
      </c>
      <c r="D3" s="15">
        <v>0</v>
      </c>
      <c r="E3" s="2"/>
      <c r="F3" s="2"/>
      <c r="G3" s="2"/>
      <c r="H3" s="2"/>
      <c r="I3" s="2"/>
      <c r="J3" s="2"/>
      <c r="K3" s="2"/>
    </row>
    <row r="4" spans="2:11" ht="30" x14ac:dyDescent="0.25">
      <c r="B4" s="8" t="s">
        <v>3</v>
      </c>
      <c r="C4" s="8" t="s">
        <v>4</v>
      </c>
      <c r="D4" s="8" t="s">
        <v>5</v>
      </c>
      <c r="E4" s="8" t="s">
        <v>6</v>
      </c>
      <c r="F4" s="18" t="s">
        <v>22</v>
      </c>
      <c r="G4" s="18" t="s">
        <v>24</v>
      </c>
      <c r="H4" s="2"/>
      <c r="I4" s="2"/>
      <c r="J4" s="2"/>
      <c r="K4" s="2"/>
    </row>
    <row r="5" spans="2:11" x14ac:dyDescent="0.25">
      <c r="B5" s="13">
        <v>6</v>
      </c>
      <c r="C5" s="13">
        <v>4.6189999999999998</v>
      </c>
      <c r="D5" s="13">
        <v>17775.992999999999</v>
      </c>
      <c r="E5" s="16">
        <f>D5/C5/1000</f>
        <v>3.8484505304178391</v>
      </c>
      <c r="F5" s="3">
        <v>536.86800000000005</v>
      </c>
      <c r="G5" s="3">
        <v>9.8040000000000003</v>
      </c>
      <c r="H5" s="2"/>
      <c r="I5" s="2"/>
      <c r="J5" s="2"/>
      <c r="K5" s="2"/>
    </row>
    <row r="6" spans="2:11" x14ac:dyDescent="0.25">
      <c r="B6" s="13">
        <v>6.5</v>
      </c>
      <c r="C6" s="13">
        <v>5.14</v>
      </c>
      <c r="D6" s="13">
        <v>18878.362000000001</v>
      </c>
      <c r="E6" s="16">
        <f>D6/C6/1000</f>
        <v>3.6728330739299615</v>
      </c>
      <c r="F6" s="3">
        <v>496.95299999999997</v>
      </c>
      <c r="G6" s="3">
        <v>10.089</v>
      </c>
      <c r="H6" s="2"/>
      <c r="I6" s="2"/>
      <c r="J6" s="2"/>
      <c r="K6" s="2"/>
    </row>
    <row r="7" spans="2:11" x14ac:dyDescent="0.25">
      <c r="B7" s="13">
        <v>7</v>
      </c>
      <c r="C7" s="13">
        <v>5.6669999999999998</v>
      </c>
      <c r="D7" s="13">
        <v>20002.808000000001</v>
      </c>
      <c r="E7" s="16">
        <f>D7/C7/1000</f>
        <v>3.5296996647256047</v>
      </c>
      <c r="F7" s="3">
        <v>456.88900000000001</v>
      </c>
      <c r="G7" s="3">
        <v>10.382</v>
      </c>
      <c r="H7" s="2"/>
      <c r="I7" s="2"/>
      <c r="J7" s="2"/>
      <c r="K7" s="2"/>
    </row>
    <row r="8" spans="2:11" x14ac:dyDescent="0.25">
      <c r="B8" s="13">
        <v>7.5</v>
      </c>
      <c r="C8" s="13">
        <v>6.2229999999999999</v>
      </c>
      <c r="D8" s="13">
        <v>20142.647000000001</v>
      </c>
      <c r="E8" s="16">
        <f>D8/C8/1000</f>
        <v>3.2368065241844768</v>
      </c>
      <c r="F8" s="3">
        <v>416.75799999999998</v>
      </c>
      <c r="G8" s="3">
        <v>10.683</v>
      </c>
      <c r="H8" s="2"/>
      <c r="I8" s="2"/>
      <c r="J8" s="2"/>
      <c r="K8" s="2"/>
    </row>
    <row r="9" spans="2:11" x14ac:dyDescent="0.25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x14ac:dyDescent="0.25">
      <c r="B10" s="10" t="s">
        <v>15</v>
      </c>
      <c r="C10" s="11"/>
      <c r="D10" s="12"/>
      <c r="E10" s="2"/>
      <c r="F10" s="7" t="s">
        <v>14</v>
      </c>
      <c r="G10" s="7"/>
      <c r="H10" s="7"/>
      <c r="I10" s="2"/>
      <c r="J10" s="7" t="s">
        <v>18</v>
      </c>
      <c r="K10" s="7"/>
    </row>
    <row r="11" spans="2:11" x14ac:dyDescent="0.25">
      <c r="B11" s="3" t="s">
        <v>8</v>
      </c>
      <c r="C11" s="3" t="s">
        <v>9</v>
      </c>
      <c r="D11" s="3" t="s">
        <v>7</v>
      </c>
      <c r="E11" s="2"/>
      <c r="F11" s="17" t="s">
        <v>8</v>
      </c>
      <c r="G11" s="17" t="s">
        <v>9</v>
      </c>
      <c r="H11" s="17" t="s">
        <v>7</v>
      </c>
      <c r="I11" s="2"/>
      <c r="J11" s="17" t="s">
        <v>8</v>
      </c>
      <c r="K11" s="17" t="s">
        <v>19</v>
      </c>
    </row>
    <row r="12" spans="2:11" x14ac:dyDescent="0.25">
      <c r="B12" s="8">
        <f>'Center of Boyancy'!B6</f>
        <v>0</v>
      </c>
      <c r="C12" s="16">
        <f>'Center of Boyancy'!E6</f>
        <v>3.379</v>
      </c>
      <c r="D12" s="16">
        <f>(C12+$E$5*(1+TAN(RADIANS(B12))^2)-$C$3)*SIN(RADIANS(B12))</f>
        <v>0</v>
      </c>
      <c r="E12" s="2"/>
      <c r="F12" s="8">
        <f>'Center of Boyancy'!G6</f>
        <v>0</v>
      </c>
      <c r="G12" s="16">
        <f>'Center of Boyancy'!J6</f>
        <v>3.67</v>
      </c>
      <c r="H12" s="16">
        <f>(G12+$E$6*(1+TAN(RADIANS(F12))^2)-$C$3)*SIN(RADIANS(F12))</f>
        <v>0</v>
      </c>
      <c r="I12" s="2"/>
      <c r="J12" s="3">
        <v>0</v>
      </c>
      <c r="K12" s="16">
        <f>$C$5*$D$3*COS(RADIANS(J12))/100</f>
        <v>0</v>
      </c>
    </row>
    <row r="13" spans="2:11" x14ac:dyDescent="0.25">
      <c r="B13" s="8">
        <f>'Center of Boyancy'!B7</f>
        <v>5</v>
      </c>
      <c r="C13" s="16">
        <f>'Center of Boyancy'!E7</f>
        <v>3.399</v>
      </c>
      <c r="D13" s="16">
        <f>(C13+$E$5*(1+TAN(RADIANS(B13))^2)-$C$3)*SIN(RADIANS(B13))</f>
        <v>0.19844557264578594</v>
      </c>
      <c r="E13" s="2"/>
      <c r="F13" s="8">
        <f>'Center of Boyancy'!G7</f>
        <v>5</v>
      </c>
      <c r="G13" s="16">
        <f>'Center of Boyancy'!J7</f>
        <v>3.6890000000000001</v>
      </c>
      <c r="H13" s="16">
        <f>(G13+$E$6*(1+TAN(RADIANS(F13))^2)-$C$3)*SIN(RADIANS(F13))</f>
        <v>0.20829751144907252</v>
      </c>
      <c r="I13" s="2"/>
      <c r="J13" s="3">
        <v>5</v>
      </c>
      <c r="K13" s="16">
        <f t="shared" ref="K13:K20" si="0">$C$5*$D$3*COS(RADIANS(J13))/100</f>
        <v>0</v>
      </c>
    </row>
    <row r="14" spans="2:11" x14ac:dyDescent="0.25">
      <c r="B14" s="8">
        <f>'Center of Boyancy'!B8</f>
        <v>10</v>
      </c>
      <c r="C14" s="16">
        <f>'Center of Boyancy'!E8</f>
        <v>3.4580000000000002</v>
      </c>
      <c r="D14" s="16">
        <f>(C14+$E$5*(1+TAN(RADIANS(B14))^2)-$C$3)*SIN(RADIANS(B14))</f>
        <v>0.42128845011766919</v>
      </c>
      <c r="E14" s="2"/>
      <c r="F14" s="8">
        <f>'Center of Boyancy'!G8</f>
        <v>10</v>
      </c>
      <c r="G14" s="16">
        <f>'Center of Boyancy'!J8</f>
        <v>3.7429999999999999</v>
      </c>
      <c r="H14" s="16">
        <f>(G14+$E$6*(1+TAN(RADIANS(F14))^2)-$C$3)*SIN(RADIANS(F14))</f>
        <v>0.4393343829480536</v>
      </c>
      <c r="I14" s="2"/>
      <c r="J14" s="3">
        <v>10</v>
      </c>
      <c r="K14" s="16">
        <f t="shared" si="0"/>
        <v>0</v>
      </c>
    </row>
    <row r="15" spans="2:11" x14ac:dyDescent="0.25">
      <c r="B15" s="8">
        <f>'Center of Boyancy'!B9</f>
        <v>15</v>
      </c>
      <c r="C15" s="16">
        <f>'Center of Boyancy'!E9</f>
        <v>3.5539999999999998</v>
      </c>
      <c r="D15" s="16">
        <f>(C15+$E$5*(1+TAN(RADIANS(B15))^2)-$C$3)*SIN(RADIANS(B15))</f>
        <v>0.69331328918849167</v>
      </c>
      <c r="E15" s="2"/>
      <c r="F15" s="8">
        <f>'Center of Boyancy'!G9</f>
        <v>15</v>
      </c>
      <c r="G15" s="16">
        <f>'Center of Boyancy'!J9</f>
        <v>3.83</v>
      </c>
      <c r="H15" s="16">
        <f>(G15+$E$6*(1+TAN(RADIANS(F15))^2)-$C$3)*SIN(RADIANS(F15))</f>
        <v>0.71603081444772265</v>
      </c>
      <c r="I15" s="2"/>
      <c r="J15" s="3">
        <v>15</v>
      </c>
      <c r="K15" s="16">
        <f t="shared" si="0"/>
        <v>0</v>
      </c>
    </row>
    <row r="16" spans="2:11" x14ac:dyDescent="0.25">
      <c r="B16" s="8">
        <f>'Center of Boyancy'!B10</f>
        <v>20</v>
      </c>
      <c r="C16" s="16">
        <f>'Center of Boyancy'!E10</f>
        <v>3.6890000000000001</v>
      </c>
      <c r="D16" s="16">
        <f>(C16+$E$5*(1+TAN(RADIANS(B16))^2)-$C$3)*SIN(RADIANS(B16))</f>
        <v>1.0422282151683269</v>
      </c>
      <c r="E16" s="2"/>
      <c r="F16" s="8">
        <f>'Center of Boyancy'!G10</f>
        <v>20</v>
      </c>
      <c r="G16" s="16">
        <f>'Center of Boyancy'!J10</f>
        <v>3.9529999999999998</v>
      </c>
      <c r="H16" s="16">
        <f>(G16+$E$6*(1+TAN(RADIANS(F16))^2)-$C$3)*SIN(RADIANS(F16))</f>
        <v>1.0644997933807776</v>
      </c>
      <c r="I16" s="2"/>
      <c r="J16" s="3">
        <v>20</v>
      </c>
      <c r="K16" s="16">
        <f t="shared" si="0"/>
        <v>0</v>
      </c>
    </row>
    <row r="17" spans="2:11" x14ac:dyDescent="0.25">
      <c r="B17" s="8">
        <f>'Center of Boyancy'!B11</f>
        <v>25</v>
      </c>
      <c r="C17" s="16">
        <f>'Center of Boyancy'!E11</f>
        <v>3.867</v>
      </c>
      <c r="D17" s="16">
        <f>(C17+$E$5*(1+TAN(RADIANS(B17))^2)-$C$3)*SIN(RADIANS(B17))</f>
        <v>1.5012535441037567</v>
      </c>
      <c r="E17" s="2"/>
      <c r="F17" s="8">
        <f>'Center of Boyancy'!G11</f>
        <v>25</v>
      </c>
      <c r="G17" s="16">
        <f>'Center of Boyancy'!J11</f>
        <v>4.1159999999999997</v>
      </c>
      <c r="H17" s="16">
        <f>(G17+$E$6*(1+TAN(RADIANS(F17))^2)-$C$3)*SIN(RADIANS(F17))</f>
        <v>1.5161279261791789</v>
      </c>
      <c r="I17" s="2"/>
      <c r="J17" s="3">
        <v>25</v>
      </c>
      <c r="K17" s="16">
        <f t="shared" si="0"/>
        <v>0</v>
      </c>
    </row>
    <row r="18" spans="2:11" x14ac:dyDescent="0.25">
      <c r="B18" s="8">
        <f>'Center of Boyancy'!B12</f>
        <v>30</v>
      </c>
      <c r="C18" s="16">
        <f>'Center of Boyancy'!E12</f>
        <v>4.0940000000000003</v>
      </c>
      <c r="D18" s="16">
        <f>(C18+$E$5*(1+TAN(RADIANS(B18))^2)-$C$3)*SIN(RADIANS(B18))</f>
        <v>2.1126336869452262</v>
      </c>
      <c r="E18" s="2"/>
      <c r="F18" s="8">
        <f>'Center of Boyancy'!G12</f>
        <v>30</v>
      </c>
      <c r="G18" s="16">
        <f>'Center of Boyancy'!J12</f>
        <v>4.3280000000000003</v>
      </c>
      <c r="H18" s="16">
        <f>(G18+$E$6*(1+TAN(RADIANS(F18))^2)-$C$3)*SIN(RADIANS(F18))</f>
        <v>2.1125553826199739</v>
      </c>
      <c r="I18" s="2"/>
      <c r="J18" s="3">
        <v>30</v>
      </c>
      <c r="K18" s="16">
        <f t="shared" si="0"/>
        <v>0</v>
      </c>
    </row>
    <row r="19" spans="2:11" x14ac:dyDescent="0.25">
      <c r="B19" s="8">
        <f>'Center of Boyancy'!B13</f>
        <v>35</v>
      </c>
      <c r="C19" s="16">
        <f>'Center of Boyancy'!E13</f>
        <v>4.3789999999999996</v>
      </c>
      <c r="D19" s="16">
        <f>(C19+$E$5*(1+TAN(RADIANS(B19))^2)-$C$3)*SIN(RADIANS(B19))</f>
        <v>2.9334474958887604</v>
      </c>
      <c r="E19" s="2"/>
      <c r="F19" s="8">
        <f>'Center of Boyancy'!G13</f>
        <v>33</v>
      </c>
      <c r="G19" s="16">
        <f>'Center of Boyancy'!J13</f>
        <v>4.4809999999999999</v>
      </c>
      <c r="H19" s="16">
        <f>(G19+$E$6*(1+TAN(RADIANS(F19))^2)-$C$3)*SIN(RADIANS(F19))</f>
        <v>2.5613163530481748</v>
      </c>
      <c r="I19" s="2"/>
      <c r="J19" s="3">
        <v>35</v>
      </c>
      <c r="K19" s="16">
        <f t="shared" si="0"/>
        <v>0</v>
      </c>
    </row>
    <row r="20" spans="2:11" x14ac:dyDescent="0.25">
      <c r="B20" s="2"/>
      <c r="C20" s="2"/>
      <c r="D20" s="2"/>
      <c r="E20" s="2"/>
      <c r="F20" s="2"/>
      <c r="G20" s="2"/>
      <c r="H20" s="2"/>
      <c r="I20" s="2"/>
      <c r="J20" s="3">
        <v>40</v>
      </c>
      <c r="K20" s="16">
        <f t="shared" si="0"/>
        <v>0</v>
      </c>
    </row>
    <row r="21" spans="2:11" x14ac:dyDescent="0.25">
      <c r="B21" s="10" t="s">
        <v>2</v>
      </c>
      <c r="C21" s="11"/>
      <c r="D21" s="12"/>
      <c r="E21" s="2"/>
      <c r="F21" s="10" t="s">
        <v>1</v>
      </c>
      <c r="G21" s="11"/>
      <c r="H21" s="12"/>
      <c r="I21" s="2"/>
      <c r="J21" s="2"/>
      <c r="K21" s="2"/>
    </row>
    <row r="22" spans="2:11" x14ac:dyDescent="0.25">
      <c r="B22" s="3" t="s">
        <v>8</v>
      </c>
      <c r="C22" s="3" t="s">
        <v>9</v>
      </c>
      <c r="D22" s="3" t="s">
        <v>7</v>
      </c>
      <c r="E22" s="2"/>
      <c r="F22" s="3" t="s">
        <v>8</v>
      </c>
      <c r="G22" s="3" t="s">
        <v>9</v>
      </c>
      <c r="H22" s="3" t="s">
        <v>7</v>
      </c>
      <c r="I22" s="2"/>
      <c r="J22" s="2"/>
      <c r="K22" s="2"/>
    </row>
    <row r="23" spans="2:11" x14ac:dyDescent="0.25">
      <c r="B23" s="8">
        <f>'Center of Boyancy'!B17</f>
        <v>0</v>
      </c>
      <c r="C23" s="16">
        <f>'Center of Boyancy'!E17</f>
        <v>3.9620000000000002</v>
      </c>
      <c r="D23" s="16">
        <f>(C23+$E$7*(1+TAN(RADIANS(B23))^2)-$C$3)*SIN(RADIANS(B23))</f>
        <v>0</v>
      </c>
      <c r="E23" s="2"/>
      <c r="F23" s="8">
        <f>'Center of Boyancy'!G17</f>
        <v>0</v>
      </c>
      <c r="G23" s="16">
        <f>'Center of Boyancy'!J17</f>
        <v>4.25</v>
      </c>
      <c r="H23" s="16">
        <f>(G23+$E$8*(1+TAN(RADIANS(F23))^2)-$C$3)*SIN(RADIANS(F23))</f>
        <v>0</v>
      </c>
      <c r="I23" s="2"/>
      <c r="J23" s="2"/>
      <c r="K23" s="2"/>
    </row>
    <row r="24" spans="2:11" x14ac:dyDescent="0.25">
      <c r="B24" s="8">
        <f>'Center of Boyancy'!B18</f>
        <v>5</v>
      </c>
      <c r="C24" s="16">
        <f>'Center of Boyancy'!E18</f>
        <v>3.9780000000000002</v>
      </c>
      <c r="D24" s="16">
        <f>(C24+$E$7*(1+TAN(RADIANS(B24))^2)-$C$3)*SIN(RADIANS(B24))</f>
        <v>0.22091513631673215</v>
      </c>
      <c r="E24" s="2"/>
      <c r="F24" s="8">
        <f>'Center of Boyancy'!G18</f>
        <v>5</v>
      </c>
      <c r="G24" s="16">
        <f>'Center of Boyancy'!J18</f>
        <v>4.2629999999999999</v>
      </c>
      <c r="H24" s="16">
        <f>(G24+$E$8*(1+TAN(RADIANS(F24))^2)-$C$3)*SIN(RADIANS(F24))</f>
        <v>0.22003181089249332</v>
      </c>
      <c r="I24" s="2"/>
      <c r="J24" s="2"/>
      <c r="K24" s="2"/>
    </row>
    <row r="25" spans="2:11" x14ac:dyDescent="0.25">
      <c r="B25" s="8">
        <f>'Center of Boyancy'!B19</f>
        <v>10</v>
      </c>
      <c r="C25" s="16">
        <f>'Center of Boyancy'!E19</f>
        <v>4.0250000000000004</v>
      </c>
      <c r="D25" s="16">
        <f>(C25+$E$7*(1+TAN(RADIANS(B25))^2)-$C$3)*SIN(RADIANS(B25))</f>
        <v>0.46267554598733446</v>
      </c>
      <c r="E25" s="2"/>
      <c r="F25" s="8">
        <f>'Center of Boyancy'!G19</f>
        <v>10</v>
      </c>
      <c r="G25" s="16">
        <f>'Center of Boyancy'!J19</f>
        <v>4.3040000000000003</v>
      </c>
      <c r="H25" s="16">
        <f>(G25+$E$8*(1+TAN(RADIANS(F25))^2)-$C$3)*SIN(RADIANS(F25))</f>
        <v>0.45868171761232829</v>
      </c>
      <c r="I25" s="2"/>
      <c r="J25" s="2"/>
      <c r="K25" s="2"/>
    </row>
    <row r="26" spans="2:11" x14ac:dyDescent="0.25">
      <c r="B26" s="8">
        <f>'Center of Boyancy'!B20</f>
        <v>15</v>
      </c>
      <c r="C26" s="16">
        <f>'Center of Boyancy'!E20</f>
        <v>4.1029999999999998</v>
      </c>
      <c r="D26" s="16">
        <f>(C26+$E$7*(1+TAN(RADIANS(B26))^2)-$C$3)*SIN(RADIANS(B26))</f>
        <v>0.74698300330122969</v>
      </c>
      <c r="E26" s="2"/>
      <c r="F26" s="8">
        <f>'Center of Boyancy'!G20</f>
        <v>15</v>
      </c>
      <c r="G26" s="16">
        <f>'Center of Boyancy'!J20</f>
        <v>4.375</v>
      </c>
      <c r="H26" s="16">
        <f>(G26+$E$8*(1+TAN(RADIANS(F26))^2)-$C$3)*SIN(RADIANS(F26))</f>
        <v>0.73613281150454213</v>
      </c>
      <c r="I26" s="2"/>
      <c r="J26" s="2"/>
      <c r="K26" s="2"/>
    </row>
    <row r="27" spans="2:11" x14ac:dyDescent="0.25">
      <c r="B27" s="8">
        <f>'Center of Boyancy'!B21</f>
        <v>20</v>
      </c>
      <c r="C27" s="16">
        <f>'Center of Boyancy'!E21</f>
        <v>4.2160000000000002</v>
      </c>
      <c r="D27" s="16">
        <f>(C27+$E$7*(1+TAN(RADIANS(B27))^2)-$C$3)*SIN(RADIANS(B27))</f>
        <v>1.0990113660769927</v>
      </c>
      <c r="E27" s="2"/>
      <c r="F27" s="8">
        <f>'Center of Boyancy'!G21</f>
        <v>20</v>
      </c>
      <c r="G27" s="16">
        <f>'Center of Boyancy'!J21</f>
        <v>4.4779999999999998</v>
      </c>
      <c r="H27" s="16">
        <f>(G27+$E$8*(1+TAN(RADIANS(F27))^2)-$C$3)*SIN(RADIANS(F27))</f>
        <v>1.0751746266865654</v>
      </c>
      <c r="I27" s="2"/>
      <c r="J27" s="2"/>
      <c r="K27" s="2"/>
    </row>
    <row r="28" spans="2:11" x14ac:dyDescent="0.25">
      <c r="B28" s="8">
        <f>'Center of Boyancy'!B22</f>
        <v>25</v>
      </c>
      <c r="C28" s="16">
        <f>'Center of Boyancy'!E22</f>
        <v>4.367</v>
      </c>
      <c r="D28" s="16">
        <f>(C28+$E$7*(1+TAN(RADIANS(B28))^2)-$C$3)*SIN(RADIANS(B28))</f>
        <v>1.5485610280260884</v>
      </c>
      <c r="E28" s="2"/>
      <c r="F28" s="8">
        <f>'Center of Boyancy'!G22</f>
        <v>25</v>
      </c>
      <c r="G28" s="16">
        <f>'Center of Boyancy'!J22</f>
        <v>4.6180000000000003</v>
      </c>
      <c r="H28" s="16">
        <f>(G28+$E$8*(1+TAN(RADIANS(F28))^2)-$C$3)*SIN(RADIANS(F28))</f>
        <v>1.503940715343804</v>
      </c>
      <c r="I28" s="2"/>
      <c r="J28" s="2"/>
      <c r="K28" s="2"/>
    </row>
    <row r="29" spans="2:11" x14ac:dyDescent="0.25">
      <c r="B29" s="8">
        <f>'Center of Boyancy'!B23</f>
        <v>30</v>
      </c>
      <c r="C29" s="16">
        <f>'Center of Boyancy'!E23</f>
        <v>4.5640000000000001</v>
      </c>
      <c r="D29" s="16">
        <f>(C29+$E$7*(1+TAN(RADIANS(B29))^2)-$C$3)*SIN(RADIANS(B29))</f>
        <v>2.1351331098170694</v>
      </c>
      <c r="E29" s="2"/>
      <c r="F29" s="8">
        <f>'Center of Boyancy'!G23</f>
        <v>27</v>
      </c>
      <c r="G29" s="16">
        <f>'Center of Boyancy'!J23</f>
        <v>4.6859999999999999</v>
      </c>
      <c r="H29" s="16">
        <f>(G29+$E$8*(1+TAN(RADIANS(F29))^2)-$C$3)*SIN(RADIANS(F29))</f>
        <v>1.708427031363595</v>
      </c>
      <c r="I29" s="2"/>
      <c r="J29" s="2"/>
      <c r="K29" s="2"/>
    </row>
    <row r="31" spans="2:11" x14ac:dyDescent="0.25">
      <c r="B31" s="7" t="s">
        <v>23</v>
      </c>
      <c r="C31" s="7"/>
      <c r="D31" s="7"/>
      <c r="E31" s="7"/>
      <c r="F31" s="7"/>
    </row>
    <row r="32" spans="2:11" x14ac:dyDescent="0.25">
      <c r="B32" s="8" t="s">
        <v>25</v>
      </c>
      <c r="C32" s="22">
        <v>6</v>
      </c>
      <c r="D32" s="22">
        <v>6.5</v>
      </c>
      <c r="E32" s="22">
        <v>7</v>
      </c>
      <c r="F32" s="22">
        <v>7.5</v>
      </c>
    </row>
    <row r="33" spans="2:6" x14ac:dyDescent="0.25">
      <c r="B33" s="3" t="s">
        <v>26</v>
      </c>
      <c r="C33" s="19" t="s">
        <v>19</v>
      </c>
      <c r="D33" s="20"/>
      <c r="E33" s="20"/>
      <c r="F33" s="21"/>
    </row>
    <row r="34" spans="2:6" x14ac:dyDescent="0.25">
      <c r="B34" s="3">
        <v>0</v>
      </c>
      <c r="C34" s="16">
        <f>0.5*1.225*$B34^2*$F$5*$G$5*1.3*0.00001*0.514</f>
        <v>0</v>
      </c>
      <c r="D34" s="16">
        <f>0.5*1.225*$B34^2*$F$6*$G$6*1.3*0.00001*0.514</f>
        <v>0</v>
      </c>
      <c r="E34" s="16">
        <f>0.5*1.225*$B34^2*$F$7*$G$7*1.3*0.00001*0.514</f>
        <v>0</v>
      </c>
      <c r="F34" s="16">
        <f>0.5*1.225*$B34^2*$F$8*$G$8*1.3*0.00001*0.514</f>
        <v>0</v>
      </c>
    </row>
    <row r="35" spans="2:6" x14ac:dyDescent="0.25">
      <c r="B35" s="3">
        <v>5</v>
      </c>
      <c r="C35" s="16">
        <f>0.5*1.225*$B35^2*$F$5*$G$5*1.3*0.00001*0.514</f>
        <v>0.53854673120703023</v>
      </c>
      <c r="D35" s="16">
        <f>0.5*1.225*$B35^2*$F$6*$G$6*1.3*0.00001*0.514</f>
        <v>0.51299840135765828</v>
      </c>
      <c r="E35" s="16">
        <f>0.5*1.225*$B35^2*$F$7*$G$7*1.3*0.00001*0.514</f>
        <v>0.48533800399186389</v>
      </c>
      <c r="F35" s="16">
        <f>0.5*1.225*$B35^2*$F$8*$G$8*1.3*0.00001*0.514</f>
        <v>0.45554338713326636</v>
      </c>
    </row>
    <row r="36" spans="2:6" x14ac:dyDescent="0.25">
      <c r="B36" s="3">
        <v>10</v>
      </c>
      <c r="C36" s="16">
        <f>0.5*1.225*$B36^2*$F$5*$G$5*1.3*0.00001*0.514</f>
        <v>2.1541869248281209</v>
      </c>
      <c r="D36" s="16">
        <f>0.5*1.225*$B36^2*$F$6*$G$6*1.3*0.00001*0.514</f>
        <v>2.0519936054306331</v>
      </c>
      <c r="E36" s="16">
        <f>0.5*1.225*$B36^2*$F$7*$G$7*1.3*0.00001*0.514</f>
        <v>1.9413520159674555</v>
      </c>
      <c r="F36" s="16">
        <f>0.5*1.225*$B36^2*$F$8*$G$8*1.3*0.00001*0.514</f>
        <v>1.8221735485330655</v>
      </c>
    </row>
    <row r="37" spans="2:6" x14ac:dyDescent="0.25">
      <c r="B37" s="3">
        <v>15</v>
      </c>
      <c r="C37" s="16">
        <f>0.5*1.225*$B37^2*$F$5*$G$5*1.3*0.00001*0.514</f>
        <v>4.846920580863272</v>
      </c>
      <c r="D37" s="16">
        <f>0.5*1.225*$B37^2*$F$6*$G$6*1.3*0.00001*0.514</f>
        <v>4.6169856122189232</v>
      </c>
      <c r="E37" s="16">
        <f>0.5*1.225*$B37^2*$F$7*$G$7*1.3*0.00001*0.514</f>
        <v>4.3680420359267735</v>
      </c>
      <c r="F37" s="16">
        <f>0.5*1.225*$B37^2*$F$8*$G$8*1.3*0.00001*0.514</f>
        <v>4.0998904841993964</v>
      </c>
    </row>
    <row r="38" spans="2:6" x14ac:dyDescent="0.25">
      <c r="B38" s="3">
        <v>20</v>
      </c>
      <c r="C38" s="16">
        <f>0.5*1.225*$B38^2*$F$5*$G$5*1.3*0.00001*0.514</f>
        <v>8.6167476993124836</v>
      </c>
      <c r="D38" s="16">
        <f>0.5*1.225*$B38^2*$F$6*$G$6*1.3*0.00001*0.514</f>
        <v>8.2079744217225326</v>
      </c>
      <c r="E38" s="16">
        <f>0.5*1.225*$B38^2*$F$7*$G$7*1.3*0.00001*0.514</f>
        <v>7.7654080638698222</v>
      </c>
      <c r="F38" s="16">
        <f>0.5*1.225*$B38^2*$F$8*$G$8*1.3*0.00001*0.514</f>
        <v>7.2886941941322618</v>
      </c>
    </row>
    <row r="39" spans="2:6" x14ac:dyDescent="0.25">
      <c r="B39" s="3">
        <v>25</v>
      </c>
      <c r="C39" s="16">
        <f>0.5*1.225*$B39^2*$F$5*$G$5*1.3*0.00001*0.514</f>
        <v>13.463668280175755</v>
      </c>
      <c r="D39" s="16">
        <f>0.5*1.225*$B39^2*$F$6*$G$6*1.3*0.00001*0.514</f>
        <v>12.824960033941457</v>
      </c>
      <c r="E39" s="16">
        <f>0.5*1.225*$B39^2*$F$7*$G$7*1.3*0.00001*0.514</f>
        <v>12.133450099796594</v>
      </c>
      <c r="F39" s="16">
        <f>0.5*1.225*$B39^2*$F$8*$G$8*1.3*0.00001*0.514</f>
        <v>11.388584678331657</v>
      </c>
    </row>
    <row r="40" spans="2:6" x14ac:dyDescent="0.25">
      <c r="B40" s="3">
        <v>30</v>
      </c>
      <c r="C40" s="16">
        <f>0.5*1.225*$B40^2*$F$5*$G$5*1.3*0.00001*0.514</f>
        <v>19.387682323453088</v>
      </c>
      <c r="D40" s="16">
        <f>0.5*1.225*$B40^2*$F$6*$G$6*1.3*0.00001*0.514</f>
        <v>18.467942448875693</v>
      </c>
      <c r="E40" s="16">
        <f>0.5*1.225*$B40^2*$F$7*$G$7*1.3*0.00001*0.514</f>
        <v>17.472168143707094</v>
      </c>
      <c r="F40" s="16">
        <f>0.5*1.225*$B40^2*$F$8*$G$8*1.3*0.00001*0.514</f>
        <v>16.399561936797586</v>
      </c>
    </row>
    <row r="41" spans="2:6" x14ac:dyDescent="0.25">
      <c r="B41" s="3">
        <v>35</v>
      </c>
      <c r="C41" s="16">
        <f>0.5*1.225*$B41^2*$F$5*$G$5*1.3*0.00001*0.514</f>
        <v>26.388789829144478</v>
      </c>
      <c r="D41" s="16">
        <f>0.5*1.225*$B41^2*$F$6*$G$6*1.3*0.00001*0.514</f>
        <v>25.13692166652525</v>
      </c>
      <c r="E41" s="16">
        <f>0.5*1.225*$B41^2*$F$7*$G$7*1.3*0.00001*0.514</f>
        <v>23.781562195601328</v>
      </c>
      <c r="F41" s="16">
        <f>0.5*1.225*$B41^2*$F$8*$G$8*1.3*0.00001*0.514</f>
        <v>22.32162596953005</v>
      </c>
    </row>
    <row r="42" spans="2:6" x14ac:dyDescent="0.25">
      <c r="B42" s="3">
        <v>40</v>
      </c>
      <c r="C42" s="16">
        <f>0.5*1.225*$B42^2*$F$5*$G$5*1.3*0.00001*0.514</f>
        <v>34.466990797249935</v>
      </c>
      <c r="D42" s="16">
        <f>0.5*1.225*$B42^2*$F$6*$G$6*1.3*0.00001*0.514</f>
        <v>32.83189768689013</v>
      </c>
      <c r="E42" s="16">
        <f>0.5*1.225*$B42^2*$F$7*$G$7*1.3*0.00001*0.514</f>
        <v>31.061632255479289</v>
      </c>
      <c r="F42" s="16">
        <f>0.5*1.225*$B42^2*$F$8*$G$8*1.3*0.00001*0.514</f>
        <v>29.154776776529047</v>
      </c>
    </row>
  </sheetData>
  <mergeCells count="7">
    <mergeCell ref="F21:H21"/>
    <mergeCell ref="J10:K10"/>
    <mergeCell ref="B31:F31"/>
    <mergeCell ref="C33:F33"/>
    <mergeCell ref="B10:D10"/>
    <mergeCell ref="F10:H10"/>
    <mergeCell ref="B21:D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Center of Boyancy</vt:lpstr>
      <vt:lpstr>GZ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Stavros PK</dc:creator>
  <cp:lastModifiedBy>Stavros PK</cp:lastModifiedBy>
  <dcterms:created xsi:type="dcterms:W3CDTF">2026-05-03T12:03:16Z</dcterms:created>
  <dcterms:modified xsi:type="dcterms:W3CDTF">2026-05-03T20:34:10Z</dcterms:modified>
</cp:coreProperties>
</file>